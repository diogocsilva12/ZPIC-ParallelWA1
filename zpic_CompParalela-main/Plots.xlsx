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ogocsilva12/Documents/"/>
    </mc:Choice>
  </mc:AlternateContent>
  <xr:revisionPtr revIDLastSave="0" documentId="13_ncr:1_{5855F591-CA29-9C47-A863-952E3C34901B}" xr6:coauthVersionLast="47" xr6:coauthVersionMax="47" xr10:uidLastSave="{00000000-0000-0000-0000-000000000000}"/>
  <bookViews>
    <workbookView xWindow="6280" yWindow="36760" windowWidth="33600" windowHeight="20380" xr2:uid="{3B1E328E-30F6-D94A-9892-D4FD0C3BE7B3}"/>
  </bookViews>
  <sheets>
    <sheet name="Scalability Plot" sheetId="2" r:id="rId1"/>
  </sheets>
  <definedNames>
    <definedName name="_xlchart.v1.0" hidden="1">'Scalability Plot'!$A$2:$A$14</definedName>
    <definedName name="_xlchart.v1.1" hidden="1">'Scalability Plot'!$D$1</definedName>
    <definedName name="_xlchart.v1.10" hidden="1">'Scalability Plot'!$A$2:$A$14</definedName>
    <definedName name="_xlchart.v1.11" hidden="1">'Scalability Plot'!$D$1</definedName>
    <definedName name="_xlchart.v1.12" hidden="1">'Scalability Plot'!$D$2:$D$14</definedName>
    <definedName name="_xlchart.v1.13" hidden="1">'Scalability Plot'!$F$1</definedName>
    <definedName name="_xlchart.v1.14" hidden="1">'Scalability Plot'!$F$2:$F$14</definedName>
    <definedName name="_xlchart.v1.15" hidden="1">'Scalability Plot'!$A$2:$A$14</definedName>
    <definedName name="_xlchart.v1.16" hidden="1">'Scalability Plot'!$D$1</definedName>
    <definedName name="_xlchart.v1.17" hidden="1">'Scalability Plot'!$D$2:$D$14</definedName>
    <definedName name="_xlchart.v1.18" hidden="1">'Scalability Plot'!$F$1</definedName>
    <definedName name="_xlchart.v1.19" hidden="1">'Scalability Plot'!$F$2:$F$14</definedName>
    <definedName name="_xlchart.v1.2" hidden="1">'Scalability Plot'!$D$2:$D$14</definedName>
    <definedName name="_xlchart.v1.20" hidden="1">'Scalability Plot'!$A$2:$A$14</definedName>
    <definedName name="_xlchart.v1.21" hidden="1">'Scalability Plot'!$D$1</definedName>
    <definedName name="_xlchart.v1.22" hidden="1">'Scalability Plot'!$D$2:$D$14</definedName>
    <definedName name="_xlchart.v1.23" hidden="1">'Scalability Plot'!$F$1</definedName>
    <definedName name="_xlchart.v1.24" hidden="1">'Scalability Plot'!$F$2:$F$14</definedName>
    <definedName name="_xlchart.v1.25" hidden="1">'Scalability Plot'!$A$2:$A$14</definedName>
    <definedName name="_xlchart.v1.26" hidden="1">'Scalability Plot'!$D$1</definedName>
    <definedName name="_xlchart.v1.27" hidden="1">'Scalability Plot'!$D$2:$D$14</definedName>
    <definedName name="_xlchart.v1.28" hidden="1">'Scalability Plot'!$F$1</definedName>
    <definedName name="_xlchart.v1.29" hidden="1">'Scalability Plot'!$F$2:$F$14</definedName>
    <definedName name="_xlchart.v1.3" hidden="1">'Scalability Plot'!$F$1</definedName>
    <definedName name="_xlchart.v1.30" hidden="1">'Scalability Plot'!$A$2:$A$14</definedName>
    <definedName name="_xlchart.v1.31" hidden="1">'Scalability Plot'!$D$1</definedName>
    <definedName name="_xlchart.v1.32" hidden="1">'Scalability Plot'!$D$2:$D$14</definedName>
    <definedName name="_xlchart.v1.33" hidden="1">'Scalability Plot'!$F$1</definedName>
    <definedName name="_xlchart.v1.34" hidden="1">'Scalability Plot'!$F$2:$F$14</definedName>
    <definedName name="_xlchart.v1.35" hidden="1">'Scalability Plot'!$A$2:$A$14</definedName>
    <definedName name="_xlchart.v1.36" hidden="1">'Scalability Plot'!$D$1</definedName>
    <definedName name="_xlchart.v1.37" hidden="1">'Scalability Plot'!$D$2:$D$14</definedName>
    <definedName name="_xlchart.v1.38" hidden="1">'Scalability Plot'!$F$1</definedName>
    <definedName name="_xlchart.v1.39" hidden="1">'Scalability Plot'!$F$2:$F$14</definedName>
    <definedName name="_xlchart.v1.4" hidden="1">'Scalability Plot'!$F$2:$F$14</definedName>
    <definedName name="_xlchart.v1.5" hidden="1">'Scalability Plot'!$A$2:$A$14</definedName>
    <definedName name="_xlchart.v1.6" hidden="1">'Scalability Plot'!$D$1</definedName>
    <definedName name="_xlchart.v1.7" hidden="1">'Scalability Plot'!$D$2:$D$14</definedName>
    <definedName name="_xlchart.v1.8" hidden="1">'Scalability Plot'!$F$1</definedName>
    <definedName name="_xlchart.v1.9" hidden="1">'Scalability Plot'!$F$2:$F$14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2" i="2"/>
  <c r="C2" i="2"/>
</calcChain>
</file>

<file path=xl/sharedStrings.xml><?xml version="1.0" encoding="utf-8"?>
<sst xmlns="http://schemas.openxmlformats.org/spreadsheetml/2006/main" count="85" uniqueCount="25">
  <si>
    <t>Threads</t>
  </si>
  <si>
    <t>Tempo (s)</t>
  </si>
  <si>
    <t>MinTime</t>
  </si>
  <si>
    <t xml:space="preserve">Efficiency </t>
  </si>
  <si>
    <t xml:space="preserve">Speedup Ideal </t>
  </si>
  <si>
    <t>Speedup Real</t>
  </si>
  <si>
    <t>RUNS DEUCALION</t>
  </si>
  <si>
    <t>1 THREAD</t>
  </si>
  <si>
    <t xml:space="preserve">RUN1 </t>
  </si>
  <si>
    <t>RUN2</t>
  </si>
  <si>
    <t>RUN3</t>
  </si>
  <si>
    <t>RUN5</t>
  </si>
  <si>
    <t>RUN4</t>
  </si>
  <si>
    <t>2 THREAD</t>
  </si>
  <si>
    <t>4 THREAD</t>
  </si>
  <si>
    <t>8 THREAD</t>
  </si>
  <si>
    <t>12 THREAD</t>
  </si>
  <si>
    <t>10 THREAD</t>
  </si>
  <si>
    <t>16 THREAD</t>
  </si>
  <si>
    <t>20 THREAD</t>
  </si>
  <si>
    <t>24 THREAD</t>
  </si>
  <si>
    <t>32 THREAD</t>
  </si>
  <si>
    <t>36 THREAD</t>
  </si>
  <si>
    <t>40 THREAD</t>
  </si>
  <si>
    <t>48 THREAD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</si>
</sst>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C9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latin typeface="Palatino" pitchFamily="2" charset="77"/>
                <a:ea typeface="Palatino" pitchFamily="2" charset="77"/>
              </a:rPr>
              <a:t>Simulation Time vs Number of Threads</a:t>
            </a:r>
            <a:endParaRPr lang="en-US">
              <a:latin typeface="Palatino" pitchFamily="2" charset="77"/>
              <a:ea typeface="Palatino" pitchFamily="2" charset="7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'Scalability Plot'!$B$1</c:f>
              <c:strCache>
                <c:ptCount val="1"/>
                <c:pt idx="0">
                  <c:v>Tempo (s)</c:v>
                </c:pt>
              </c:strCache>
            </c:strRef>
          </c:tx>
          <c:spPr>
            <a:ln w="19050" cap="rnd">
              <a:solidFill>
                <a:srgbClr val="A6C9E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alatino" pitchFamily="2" charset="77"/>
                    <a:ea typeface="Palatino" pitchFamily="2" charset="77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'Scalability Plot'!$A$2:$A$14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48</c:v>
                </c:pt>
              </c:numCache>
            </c:numRef>
          </c:cat>
          <c:val>
            <c:numRef>
              <c:f>'Scalability Plot'!$B$2:$B$14</c:f>
              <c:numCache>
                <c:formatCode>0.00</c:formatCode>
                <c:ptCount val="13"/>
                <c:pt idx="0">
                  <c:v>80</c:v>
                </c:pt>
                <c:pt idx="1">
                  <c:v>45.3</c:v>
                </c:pt>
                <c:pt idx="2">
                  <c:v>26</c:v>
                </c:pt>
                <c:pt idx="3">
                  <c:v>17.3</c:v>
                </c:pt>
                <c:pt idx="4">
                  <c:v>14.7</c:v>
                </c:pt>
                <c:pt idx="5">
                  <c:v>13.3</c:v>
                </c:pt>
                <c:pt idx="6">
                  <c:v>12.7</c:v>
                </c:pt>
                <c:pt idx="7">
                  <c:v>12</c:v>
                </c:pt>
                <c:pt idx="8">
                  <c:v>11.3</c:v>
                </c:pt>
                <c:pt idx="9">
                  <c:v>11.7</c:v>
                </c:pt>
                <c:pt idx="10">
                  <c:v>12.1</c:v>
                </c:pt>
                <c:pt idx="11">
                  <c:v>12.8</c:v>
                </c:pt>
                <c:pt idx="12">
                  <c:v>13.7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1F-4246-B09C-2A91E81BF45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628654975"/>
        <c:axId val="628663487"/>
      </c:lineChart>
      <c:catAx>
        <c:axId val="62865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" pitchFamily="2" charset="77"/>
                    <a:ea typeface="Palatino" pitchFamily="2" charset="77"/>
                    <a:cs typeface="+mn-cs"/>
                  </a:defRPr>
                </a:pPr>
                <a:r>
                  <a:rPr lang="en-US" sz="1400">
                    <a:latin typeface="Palatino" pitchFamily="2" charset="77"/>
                    <a:ea typeface="Palatino" pitchFamily="2" charset="77"/>
                  </a:rPr>
                  <a:t>Number of 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" pitchFamily="2" charset="77"/>
                  <a:ea typeface="Palatino" pitchFamily="2" charset="77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" pitchFamily="2" charset="77"/>
                <a:ea typeface="Palatino" pitchFamily="2" charset="77"/>
                <a:cs typeface="+mn-cs"/>
              </a:defRPr>
            </a:pPr>
            <a:endParaRPr lang="en-US"/>
          </a:p>
        </c:txPr>
        <c:crossAx val="628663487"/>
        <c:crosses val="autoZero"/>
        <c:auto val="1"/>
        <c:lblAlgn val="ctr"/>
        <c:lblOffset val="100"/>
        <c:noMultiLvlLbl val="0"/>
      </c:catAx>
      <c:valAx>
        <c:axId val="628663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" pitchFamily="2" charset="77"/>
                    <a:ea typeface="Palatino" pitchFamily="2" charset="77"/>
                    <a:cs typeface="+mn-cs"/>
                  </a:defRPr>
                </a:pPr>
                <a:r>
                  <a:rPr lang="en-US" sz="1400">
                    <a:latin typeface="Palatino" pitchFamily="2" charset="77"/>
                    <a:ea typeface="Palatino" pitchFamily="2" charset="77"/>
                  </a:rPr>
                  <a:t>Simulation</a:t>
                </a:r>
                <a:r>
                  <a:rPr lang="en-US" sz="1400" baseline="0">
                    <a:latin typeface="Palatino" pitchFamily="2" charset="77"/>
                    <a:ea typeface="Palatino" pitchFamily="2" charset="77"/>
                  </a:rPr>
                  <a:t> (s)</a:t>
                </a:r>
                <a:endParaRPr lang="en-US" sz="1400">
                  <a:latin typeface="Palatino" pitchFamily="2" charset="77"/>
                  <a:ea typeface="Palatino" pitchFamily="2" charset="7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" pitchFamily="2" charset="77"/>
                  <a:ea typeface="Palatino" pitchFamily="2" charset="77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" pitchFamily="2" charset="77"/>
                <a:ea typeface="Palatino" pitchFamily="2" charset="77"/>
                <a:cs typeface="+mn-cs"/>
              </a:defRPr>
            </a:pPr>
            <a:endParaRPr lang="en-US"/>
          </a:p>
        </c:txPr>
        <c:crossAx val="6286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Palatino" pitchFamily="2" charset="77"/>
                <a:ea typeface="Palatino" pitchFamily="2" charset="77"/>
              </a:rPr>
              <a:t>Speedup</a:t>
            </a:r>
            <a:r>
              <a:rPr lang="en-US" baseline="0">
                <a:latin typeface="Palatino" pitchFamily="2" charset="77"/>
                <a:ea typeface="Palatino" pitchFamily="2" charset="77"/>
              </a:rPr>
              <a:t> vs Number of Threads</a:t>
            </a:r>
            <a:endParaRPr lang="en-US">
              <a:latin typeface="Palatino" pitchFamily="2" charset="77"/>
              <a:ea typeface="Palatino" pitchFamily="2" charset="7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'Scalability Plot'!$D$1</c:f>
              <c:strCache>
                <c:ptCount val="1"/>
                <c:pt idx="0">
                  <c:v>Speedup Real</c:v>
                </c:pt>
              </c:strCache>
            </c:strRef>
          </c:tx>
          <c:spPr>
            <a:ln w="19050" cap="rnd">
              <a:solidFill>
                <a:srgbClr val="A6C9E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1458542906136902E-2"/>
                  <c:y val="2.9307451865759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1B8-F84A-8A68-13290B6DF0D8}"/>
                </c:ext>
              </c:extLst>
            </c:dLbl>
            <c:dLbl>
              <c:idx val="2"/>
              <c:layout>
                <c:manualLayout>
                  <c:x val="-2.3175226338627838E-2"/>
                  <c:y val="2.30702041519932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1B8-F84A-8A68-13290B6DF0D8}"/>
                </c:ext>
              </c:extLst>
            </c:dLbl>
            <c:dLbl>
              <c:idx val="3"/>
              <c:layout>
                <c:manualLayout>
                  <c:x val="-3.1758643501082595E-2"/>
                  <c:y val="2.6188828008876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1B8-F84A-8A68-13290B6DF0D8}"/>
                </c:ext>
              </c:extLst>
            </c:dLbl>
            <c:dLbl>
              <c:idx val="5"/>
              <c:layout>
                <c:manualLayout>
                  <c:x val="-2.1458542906136885E-2"/>
                  <c:y val="2.61888280088765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1B8-F84A-8A68-13290B6DF0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Palatino" pitchFamily="2" charset="77"/>
                    <a:ea typeface="Palatino" pitchFamily="2" charset="77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'Scalability Plot'!$A$2:$A$14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48</c:v>
                </c:pt>
              </c:numCache>
            </c:numRef>
          </c:cat>
          <c:val>
            <c:numRef>
              <c:f>'Scalability Plot'!$D$2:$D$14</c:f>
              <c:numCache>
                <c:formatCode>General</c:formatCode>
                <c:ptCount val="13"/>
                <c:pt idx="0">
                  <c:v>1</c:v>
                </c:pt>
                <c:pt idx="1">
                  <c:v>1.77</c:v>
                </c:pt>
                <c:pt idx="2">
                  <c:v>3.08</c:v>
                </c:pt>
                <c:pt idx="3">
                  <c:v>4.62</c:v>
                </c:pt>
                <c:pt idx="4">
                  <c:v>5.44</c:v>
                </c:pt>
                <c:pt idx="5">
                  <c:v>6.02</c:v>
                </c:pt>
                <c:pt idx="6">
                  <c:v>6.3</c:v>
                </c:pt>
                <c:pt idx="7">
                  <c:v>6.67</c:v>
                </c:pt>
                <c:pt idx="8">
                  <c:v>7.08</c:v>
                </c:pt>
                <c:pt idx="9">
                  <c:v>6.84</c:v>
                </c:pt>
                <c:pt idx="10">
                  <c:v>6.61</c:v>
                </c:pt>
                <c:pt idx="11">
                  <c:v>6.25</c:v>
                </c:pt>
                <c:pt idx="12">
                  <c:v>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1F-4246-B09C-2A91E81BF458}"/>
            </c:ext>
          </c:extLst>
        </c:ser>
        <c:ser>
          <c:idx val="1"/>
          <c:order val="1"/>
          <c:tx>
            <c:strRef>
              <c:f>'Scalability Plot'!$F$1</c:f>
              <c:strCache>
                <c:ptCount val="1"/>
                <c:pt idx="0">
                  <c:v>Speedup Ideal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8505847402252466E-2"/>
                  <c:y val="-5.76712130636453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1B8-F84A-8A68-13290B6DF0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'Scalability Plot'!$A$2:$A$14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48</c:v>
                </c:pt>
              </c:numCache>
            </c:numRef>
          </c:cat>
          <c:val>
            <c:numRef>
              <c:f>'Scalability Plot'!$F$2:$F$14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1B8-F84A-8A68-13290B6DF0D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8654975"/>
        <c:axId val="628663487"/>
      </c:lineChart>
      <c:catAx>
        <c:axId val="62865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" pitchFamily="2" charset="77"/>
                    <a:ea typeface="Palatino" pitchFamily="2" charset="77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Threads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" pitchFamily="2" charset="77"/>
                  <a:ea typeface="Palatino" pitchFamily="2" charset="77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" pitchFamily="2" charset="77"/>
                <a:ea typeface="Palatino" pitchFamily="2" charset="77"/>
                <a:cs typeface="+mn-cs"/>
              </a:defRPr>
            </a:pPr>
            <a:endParaRPr lang="en-US"/>
          </a:p>
        </c:txPr>
        <c:crossAx val="628663487"/>
        <c:crosses val="autoZero"/>
        <c:auto val="1"/>
        <c:lblAlgn val="ctr"/>
        <c:lblOffset val="100"/>
        <c:noMultiLvlLbl val="0"/>
      </c:catAx>
      <c:valAx>
        <c:axId val="628663487"/>
        <c:scaling>
          <c:orientation val="minMax"/>
          <c:max val="50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Palatino" pitchFamily="2" charset="77"/>
                    <a:ea typeface="Palatino" pitchFamily="2" charset="77"/>
                    <a:cs typeface="+mn-cs"/>
                  </a:defRPr>
                </a:pPr>
                <a:r>
                  <a:rPr lang="en-US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Palatino" pitchFamily="2" charset="77"/>
                  <a:ea typeface="Palatino" pitchFamily="2" charset="77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Palatino" pitchFamily="2" charset="77"/>
                <a:ea typeface="Palatino" pitchFamily="2" charset="77"/>
                <a:cs typeface="+mn-cs"/>
              </a:defRPr>
            </a:pPr>
            <a:endParaRPr lang="en-US"/>
          </a:p>
        </c:txPr>
        <c:crossAx val="628654975"/>
        <c:crosses val="autoZero"/>
        <c:crossBetween val="between"/>
        <c:majorUnit val="4"/>
        <c:min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914749771086346"/>
          <c:y val="0.48541232995826195"/>
          <c:w val="0.14809731984347629"/>
          <c:h val="0.105254291852607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'Scalability Plot'!$E$1</c:f>
              <c:strCache>
                <c:ptCount val="1"/>
                <c:pt idx="0">
                  <c:v>Efficiency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'Scalability Plot'!$A$2:$A$14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16</c:v>
                </c:pt>
                <c:pt idx="7">
                  <c:v>20</c:v>
                </c:pt>
                <c:pt idx="8">
                  <c:v>24</c:v>
                </c:pt>
                <c:pt idx="9">
                  <c:v>32</c:v>
                </c:pt>
                <c:pt idx="10">
                  <c:v>36</c:v>
                </c:pt>
                <c:pt idx="11">
                  <c:v>40</c:v>
                </c:pt>
                <c:pt idx="12">
                  <c:v>48</c:v>
                </c:pt>
              </c:numCache>
            </c:numRef>
          </c:xVal>
          <c:yVal>
            <c:numRef>
              <c:f>'Scalability Plot'!$E$2:$E$14</c:f>
              <c:numCache>
                <c:formatCode>General</c:formatCode>
                <c:ptCount val="13"/>
                <c:pt idx="0">
                  <c:v>1</c:v>
                </c:pt>
                <c:pt idx="1">
                  <c:v>0.89</c:v>
                </c:pt>
                <c:pt idx="2">
                  <c:v>0.77</c:v>
                </c:pt>
                <c:pt idx="3">
                  <c:v>0.57999999999999996</c:v>
                </c:pt>
                <c:pt idx="4">
                  <c:v>0.54</c:v>
                </c:pt>
                <c:pt idx="5">
                  <c:v>0.5</c:v>
                </c:pt>
                <c:pt idx="6">
                  <c:v>0.39</c:v>
                </c:pt>
                <c:pt idx="7">
                  <c:v>0.33</c:v>
                </c:pt>
                <c:pt idx="8">
                  <c:v>0.3</c:v>
                </c:pt>
                <c:pt idx="9">
                  <c:v>0.21</c:v>
                </c:pt>
                <c:pt idx="10">
                  <c:v>0.18</c:v>
                </c:pt>
                <c:pt idx="11">
                  <c:v>0.16</c:v>
                </c:pt>
                <c:pt idx="12">
                  <c:v>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1E-A645-B0F5-EEED40819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439103"/>
        <c:axId val="700442687"/>
      </c:scatterChart>
      <c:valAx>
        <c:axId val="70043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442687"/>
        <c:crosses val="autoZero"/>
        <c:crossBetween val="midCat"/>
      </c:valAx>
      <c:valAx>
        <c:axId val="70044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43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25399</xdr:colOff>
      <xdr:row>0</xdr:row>
      <xdr:rowOff>186267</xdr:rowOff>
    </xdr:from>
    <xdr:to>
      <xdr:col>18</xdr:col>
      <xdr:colOff>16932</xdr:colOff>
      <xdr:row>22</xdr:row>
      <xdr:rowOff>190501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ED223F-DDF6-D499-19CA-DDAAAE9BA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8467</xdr:colOff>
      <xdr:row>24</xdr:row>
      <xdr:rowOff>12701</xdr:rowOff>
    </xdr:from>
    <xdr:to>
      <xdr:col>17</xdr:col>
      <xdr:colOff>540925</xdr:colOff>
      <xdr:row>44</xdr:row>
      <xdr:rowOff>8467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7A21F8-DD59-2261-4E9C-3B76E8728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</xdr:colOff>
      <xdr:row>45</xdr:row>
      <xdr:rowOff>12699</xdr:rowOff>
    </xdr:from>
    <xdr:to>
      <xdr:col>17</xdr:col>
      <xdr:colOff>812800</xdr:colOff>
      <xdr:row>61</xdr:row>
      <xdr:rowOff>59266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D3F53D-12FE-B9CD-0D99-342AE9F2B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A4484-59EA-114C-9A3C-DC22BD0D72EA}">
  <dimension ref="A1:H54"/>
  <sheetViews>
    <sheetView tabSelected="1" zoomScale="162" zoomScaleNormal="110" workbookViewId="0"/>
  </sheetViews>
  <sheetFormatPr baseColWidth="10" defaultRowHeight="16" x14ac:dyDescent="0.2"/>
  <cols>
    <col min="2" max="2" width="10.83203125" style="4"/>
  </cols>
  <sheetData>
    <row r="1" spans="1:6" x14ac:dyDescent="0.2">
      <c r="A1" s="1" t="s">
        <v>0</v>
      </c>
      <c r="B1" s="3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2">
      <c r="A2">
        <v>1</v>
      </c>
      <c r="B2" s="4">
        <v>80</v>
      </c>
      <c r="C2">
        <f>MIN(B2:B14)</f>
        <v>11.3</v>
      </c>
      <c r="D2">
        <f>ROUND($B$2 / B2, 2)</f>
        <v>1</v>
      </c>
      <c r="E2">
        <f xml:space="preserve"> ROUND(D2 / A2,2)</f>
        <v>1</v>
      </c>
      <c r="F2">
        <v>1</v>
      </c>
    </row>
    <row r="3" spans="1:6" x14ac:dyDescent="0.2">
      <c r="A3">
        <v>2</v>
      </c>
      <c r="B3" s="4">
        <v>45.3</v>
      </c>
      <c r="D3">
        <f>ROUND($B$2 / B3, 2)</f>
        <v>1.77</v>
      </c>
      <c r="E3">
        <f t="shared" ref="E3:E14" si="0" xml:space="preserve"> ROUND(D3 / A3,2)</f>
        <v>0.89</v>
      </c>
      <c r="F3">
        <v>2</v>
      </c>
    </row>
    <row r="4" spans="1:6" x14ac:dyDescent="0.2">
      <c r="A4">
        <v>4</v>
      </c>
      <c r="B4" s="4">
        <v>26</v>
      </c>
      <c r="D4">
        <f t="shared" ref="D3:D14" si="1">ROUND($B$2 / B4, 2)</f>
        <v>3.08</v>
      </c>
      <c r="E4">
        <f t="shared" si="0"/>
        <v>0.77</v>
      </c>
      <c r="F4">
        <v>4</v>
      </c>
    </row>
    <row r="5" spans="1:6" x14ac:dyDescent="0.2">
      <c r="A5">
        <v>8</v>
      </c>
      <c r="B5" s="4">
        <v>17.3</v>
      </c>
      <c r="D5">
        <f t="shared" si="1"/>
        <v>4.62</v>
      </c>
      <c r="E5">
        <f t="shared" si="0"/>
        <v>0.57999999999999996</v>
      </c>
      <c r="F5">
        <v>8</v>
      </c>
    </row>
    <row r="6" spans="1:6" x14ac:dyDescent="0.2">
      <c r="A6">
        <v>10</v>
      </c>
      <c r="B6" s="4">
        <v>14.7</v>
      </c>
      <c r="D6">
        <f t="shared" si="1"/>
        <v>5.44</v>
      </c>
      <c r="E6">
        <f t="shared" si="0"/>
        <v>0.54</v>
      </c>
      <c r="F6">
        <v>10</v>
      </c>
    </row>
    <row r="7" spans="1:6" x14ac:dyDescent="0.2">
      <c r="A7">
        <v>12</v>
      </c>
      <c r="B7" s="4">
        <v>13.3</v>
      </c>
      <c r="D7">
        <f t="shared" si="1"/>
        <v>6.02</v>
      </c>
      <c r="E7">
        <f t="shared" si="0"/>
        <v>0.5</v>
      </c>
      <c r="F7">
        <v>12</v>
      </c>
    </row>
    <row r="8" spans="1:6" x14ac:dyDescent="0.2">
      <c r="A8">
        <v>16</v>
      </c>
      <c r="B8" s="4">
        <v>12.7</v>
      </c>
      <c r="D8">
        <f t="shared" si="1"/>
        <v>6.3</v>
      </c>
      <c r="E8">
        <f t="shared" si="0"/>
        <v>0.39</v>
      </c>
      <c r="F8">
        <v>16</v>
      </c>
    </row>
    <row r="9" spans="1:6" x14ac:dyDescent="0.2">
      <c r="A9">
        <v>20</v>
      </c>
      <c r="B9" s="4">
        <v>12</v>
      </c>
      <c r="D9">
        <f t="shared" si="1"/>
        <v>6.67</v>
      </c>
      <c r="E9">
        <f t="shared" si="0"/>
        <v>0.33</v>
      </c>
      <c r="F9">
        <v>20</v>
      </c>
    </row>
    <row r="10" spans="1:6" x14ac:dyDescent="0.2">
      <c r="A10">
        <v>24</v>
      </c>
      <c r="B10" s="4">
        <v>11.3</v>
      </c>
      <c r="D10">
        <f t="shared" si="1"/>
        <v>7.08</v>
      </c>
      <c r="E10">
        <f t="shared" si="0"/>
        <v>0.3</v>
      </c>
      <c r="F10">
        <v>24</v>
      </c>
    </row>
    <row r="11" spans="1:6" x14ac:dyDescent="0.2">
      <c r="A11">
        <v>32</v>
      </c>
      <c r="B11" s="4">
        <v>11.7</v>
      </c>
      <c r="D11">
        <f t="shared" si="1"/>
        <v>6.84</v>
      </c>
      <c r="E11">
        <f t="shared" si="0"/>
        <v>0.21</v>
      </c>
      <c r="F11">
        <v>32</v>
      </c>
    </row>
    <row r="12" spans="1:6" x14ac:dyDescent="0.2">
      <c r="A12">
        <v>36</v>
      </c>
      <c r="B12" s="4">
        <v>12.1</v>
      </c>
      <c r="D12">
        <f t="shared" si="1"/>
        <v>6.61</v>
      </c>
      <c r="E12">
        <f t="shared" si="0"/>
        <v>0.18</v>
      </c>
      <c r="F12">
        <v>36</v>
      </c>
    </row>
    <row r="13" spans="1:6" x14ac:dyDescent="0.2">
      <c r="A13">
        <v>40</v>
      </c>
      <c r="B13" s="4">
        <v>12.8</v>
      </c>
      <c r="D13">
        <f t="shared" si="1"/>
        <v>6.25</v>
      </c>
      <c r="E13">
        <f t="shared" si="0"/>
        <v>0.16</v>
      </c>
      <c r="F13">
        <v>40</v>
      </c>
    </row>
    <row r="14" spans="1:6" x14ac:dyDescent="0.2">
      <c r="A14">
        <v>48</v>
      </c>
      <c r="B14" s="4">
        <v>13.7</v>
      </c>
      <c r="D14">
        <f t="shared" si="1"/>
        <v>5.84</v>
      </c>
      <c r="E14">
        <f t="shared" si="0"/>
        <v>0.12</v>
      </c>
      <c r="F14">
        <v>48</v>
      </c>
    </row>
    <row r="19" spans="1:8" x14ac:dyDescent="0.2">
      <c r="A19" t="s">
        <v>6</v>
      </c>
    </row>
    <row r="20" spans="1:8" x14ac:dyDescent="0.2">
      <c r="A20" t="s">
        <v>7</v>
      </c>
      <c r="D20" t="s">
        <v>17</v>
      </c>
      <c r="E20" s="4"/>
      <c r="G20" s="2" t="s">
        <v>20</v>
      </c>
      <c r="H20" s="4"/>
    </row>
    <row r="21" spans="1:8" x14ac:dyDescent="0.2">
      <c r="A21" t="s">
        <v>8</v>
      </c>
      <c r="B21" s="5">
        <v>41.831755000000001</v>
      </c>
      <c r="D21" t="s">
        <v>8</v>
      </c>
      <c r="E21" s="5">
        <v>10.26535</v>
      </c>
      <c r="G21" s="2" t="s">
        <v>8</v>
      </c>
      <c r="H21" s="5">
        <v>11.504758000000001</v>
      </c>
    </row>
    <row r="22" spans="1:8" x14ac:dyDescent="0.2">
      <c r="A22" t="s">
        <v>9</v>
      </c>
      <c r="B22" s="5">
        <v>41.846885</v>
      </c>
      <c r="D22" t="s">
        <v>9</v>
      </c>
      <c r="E22" s="5">
        <v>10.444963</v>
      </c>
      <c r="G22" s="2" t="s">
        <v>9</v>
      </c>
      <c r="H22" s="5"/>
    </row>
    <row r="23" spans="1:8" x14ac:dyDescent="0.2">
      <c r="A23" t="s">
        <v>10</v>
      </c>
      <c r="B23" s="5"/>
      <c r="D23" t="s">
        <v>10</v>
      </c>
      <c r="E23" s="5"/>
      <c r="G23" s="2" t="s">
        <v>10</v>
      </c>
      <c r="H23" s="5"/>
    </row>
    <row r="24" spans="1:8" x14ac:dyDescent="0.2">
      <c r="A24" t="s">
        <v>12</v>
      </c>
      <c r="B24" s="5"/>
      <c r="D24" t="s">
        <v>12</v>
      </c>
      <c r="E24" s="5"/>
      <c r="G24" s="2" t="s">
        <v>12</v>
      </c>
      <c r="H24" s="5"/>
    </row>
    <row r="25" spans="1:8" x14ac:dyDescent="0.2">
      <c r="A25" t="s">
        <v>11</v>
      </c>
      <c r="B25" s="5"/>
      <c r="D25" t="s">
        <v>11</v>
      </c>
      <c r="E25" s="5"/>
      <c r="G25" s="2" t="s">
        <v>11</v>
      </c>
      <c r="H25" s="5"/>
    </row>
    <row r="26" spans="1:8" x14ac:dyDescent="0.2">
      <c r="B26" s="5"/>
      <c r="E26" s="5"/>
      <c r="H26" s="5"/>
    </row>
    <row r="27" spans="1:8" x14ac:dyDescent="0.2">
      <c r="A27" t="s">
        <v>13</v>
      </c>
      <c r="B27" s="5"/>
      <c r="D27" t="s">
        <v>16</v>
      </c>
      <c r="E27" s="5"/>
      <c r="G27" s="2" t="s">
        <v>21</v>
      </c>
      <c r="H27" s="5"/>
    </row>
    <row r="28" spans="1:8" x14ac:dyDescent="0.2">
      <c r="A28" t="s">
        <v>8</v>
      </c>
      <c r="B28" s="5">
        <v>24.282183</v>
      </c>
      <c r="D28" t="s">
        <v>8</v>
      </c>
      <c r="E28" s="5">
        <v>9.7930879999999991</v>
      </c>
      <c r="G28" s="2" t="s">
        <v>8</v>
      </c>
      <c r="H28" s="5">
        <v>14.259062</v>
      </c>
    </row>
    <row r="29" spans="1:8" x14ac:dyDescent="0.2">
      <c r="A29" t="s">
        <v>9</v>
      </c>
      <c r="B29" s="5">
        <v>24.277888000000001</v>
      </c>
      <c r="D29" t="s">
        <v>9</v>
      </c>
      <c r="E29" s="5"/>
      <c r="G29" s="2" t="s">
        <v>9</v>
      </c>
      <c r="H29" s="5"/>
    </row>
    <row r="30" spans="1:8" x14ac:dyDescent="0.2">
      <c r="A30" t="s">
        <v>10</v>
      </c>
      <c r="B30" s="5"/>
      <c r="D30" t="s">
        <v>10</v>
      </c>
      <c r="E30" s="5"/>
      <c r="G30" s="2" t="s">
        <v>10</v>
      </c>
      <c r="H30" s="5"/>
    </row>
    <row r="31" spans="1:8" x14ac:dyDescent="0.2">
      <c r="A31" t="s">
        <v>12</v>
      </c>
      <c r="B31" s="5"/>
      <c r="D31" t="s">
        <v>12</v>
      </c>
      <c r="E31" s="5"/>
      <c r="G31" s="2" t="s">
        <v>12</v>
      </c>
      <c r="H31" s="5"/>
    </row>
    <row r="32" spans="1:8" x14ac:dyDescent="0.2">
      <c r="A32" t="s">
        <v>11</v>
      </c>
      <c r="B32" s="5"/>
      <c r="D32" t="s">
        <v>11</v>
      </c>
      <c r="E32" s="5"/>
      <c r="G32" s="2" t="s">
        <v>11</v>
      </c>
      <c r="H32" s="5"/>
    </row>
    <row r="33" spans="1:8" x14ac:dyDescent="0.2">
      <c r="B33" s="5"/>
      <c r="E33" s="5"/>
      <c r="H33" s="5"/>
    </row>
    <row r="34" spans="1:8" x14ac:dyDescent="0.2">
      <c r="A34" t="s">
        <v>14</v>
      </c>
      <c r="B34" s="5"/>
      <c r="D34" t="s">
        <v>18</v>
      </c>
      <c r="E34" s="5"/>
      <c r="G34" s="2" t="s">
        <v>22</v>
      </c>
      <c r="H34" s="5"/>
    </row>
    <row r="35" spans="1:8" x14ac:dyDescent="0.2">
      <c r="A35" t="s">
        <v>8</v>
      </c>
      <c r="B35" s="5">
        <v>15.229637</v>
      </c>
      <c r="D35" t="s">
        <v>8</v>
      </c>
      <c r="E35" s="5">
        <v>10.885441999999999</v>
      </c>
      <c r="G35" s="2" t="s">
        <v>8</v>
      </c>
      <c r="H35" s="5">
        <v>15.478501</v>
      </c>
    </row>
    <row r="36" spans="1:8" x14ac:dyDescent="0.2">
      <c r="A36" t="s">
        <v>9</v>
      </c>
      <c r="B36" s="5">
        <v>15.237085</v>
      </c>
      <c r="D36" t="s">
        <v>9</v>
      </c>
      <c r="E36" s="5"/>
      <c r="G36" s="2" t="s">
        <v>9</v>
      </c>
      <c r="H36" s="5"/>
    </row>
    <row r="37" spans="1:8" x14ac:dyDescent="0.2">
      <c r="A37" t="s">
        <v>10</v>
      </c>
      <c r="B37" s="5"/>
      <c r="D37" t="s">
        <v>10</v>
      </c>
      <c r="E37" s="5"/>
      <c r="G37" s="2" t="s">
        <v>10</v>
      </c>
      <c r="H37" s="5"/>
    </row>
    <row r="38" spans="1:8" x14ac:dyDescent="0.2">
      <c r="A38" t="s">
        <v>12</v>
      </c>
      <c r="B38" s="5"/>
      <c r="D38" t="s">
        <v>12</v>
      </c>
      <c r="E38" s="5"/>
      <c r="G38" s="2" t="s">
        <v>12</v>
      </c>
      <c r="H38" s="5"/>
    </row>
    <row r="39" spans="1:8" x14ac:dyDescent="0.2">
      <c r="A39" t="s">
        <v>11</v>
      </c>
      <c r="B39" s="5"/>
      <c r="D39" t="s">
        <v>11</v>
      </c>
      <c r="E39" s="5"/>
      <c r="G39" s="2" t="s">
        <v>11</v>
      </c>
      <c r="H39" s="5"/>
    </row>
    <row r="40" spans="1:8" x14ac:dyDescent="0.2">
      <c r="B40" s="5"/>
      <c r="E40" s="5"/>
      <c r="H40" s="5"/>
    </row>
    <row r="41" spans="1:8" x14ac:dyDescent="0.2">
      <c r="A41" t="s">
        <v>15</v>
      </c>
      <c r="B41" s="5"/>
      <c r="D41" t="s">
        <v>19</v>
      </c>
      <c r="E41" s="5"/>
      <c r="G41" s="2" t="s">
        <v>23</v>
      </c>
      <c r="H41" s="5"/>
    </row>
    <row r="42" spans="1:8" x14ac:dyDescent="0.2">
      <c r="A42" t="s">
        <v>8</v>
      </c>
      <c r="B42" s="5">
        <v>11.045408999999999</v>
      </c>
      <c r="D42" t="s">
        <v>8</v>
      </c>
      <c r="E42" s="5">
        <v>11.331284</v>
      </c>
      <c r="G42" s="2" t="s">
        <v>8</v>
      </c>
      <c r="H42" s="5">
        <v>16.333879</v>
      </c>
    </row>
    <row r="43" spans="1:8" x14ac:dyDescent="0.2">
      <c r="A43" t="s">
        <v>9</v>
      </c>
      <c r="B43" s="5">
        <v>11.062094</v>
      </c>
      <c r="D43" t="s">
        <v>9</v>
      </c>
      <c r="E43" s="5"/>
      <c r="G43" s="2" t="s">
        <v>9</v>
      </c>
      <c r="H43" s="5"/>
    </row>
    <row r="44" spans="1:8" x14ac:dyDescent="0.2">
      <c r="A44" t="s">
        <v>10</v>
      </c>
      <c r="B44" s="5"/>
      <c r="D44" t="s">
        <v>10</v>
      </c>
      <c r="E44" s="5"/>
      <c r="G44" s="2" t="s">
        <v>10</v>
      </c>
      <c r="H44" s="5"/>
    </row>
    <row r="45" spans="1:8" x14ac:dyDescent="0.2">
      <c r="A45" t="s">
        <v>12</v>
      </c>
      <c r="B45" s="5"/>
      <c r="D45" t="s">
        <v>12</v>
      </c>
      <c r="E45" s="5"/>
      <c r="G45" s="2" t="s">
        <v>12</v>
      </c>
      <c r="H45" s="5"/>
    </row>
    <row r="46" spans="1:8" x14ac:dyDescent="0.2">
      <c r="A46" t="s">
        <v>11</v>
      </c>
      <c r="B46" s="5"/>
      <c r="D46" t="s">
        <v>11</v>
      </c>
      <c r="E46" s="5"/>
      <c r="G46" s="2" t="s">
        <v>11</v>
      </c>
      <c r="H46" s="5"/>
    </row>
    <row r="47" spans="1:8" x14ac:dyDescent="0.2">
      <c r="H47" s="5"/>
    </row>
    <row r="48" spans="1:8" x14ac:dyDescent="0.2">
      <c r="H48" s="5"/>
    </row>
    <row r="49" spans="7:8" x14ac:dyDescent="0.2">
      <c r="G49" s="2" t="s">
        <v>24</v>
      </c>
      <c r="H49" s="5"/>
    </row>
    <row r="50" spans="7:8" x14ac:dyDescent="0.2">
      <c r="G50" s="2" t="s">
        <v>8</v>
      </c>
      <c r="H50" s="5">
        <v>18.19116</v>
      </c>
    </row>
    <row r="51" spans="7:8" x14ac:dyDescent="0.2">
      <c r="G51" s="2" t="s">
        <v>9</v>
      </c>
      <c r="H51" s="5"/>
    </row>
    <row r="52" spans="7:8" x14ac:dyDescent="0.2">
      <c r="G52" s="2" t="s">
        <v>10</v>
      </c>
      <c r="H52" s="5"/>
    </row>
    <row r="53" spans="7:8" x14ac:dyDescent="0.2">
      <c r="G53" s="2" t="s">
        <v>12</v>
      </c>
      <c r="H53" s="5"/>
    </row>
    <row r="54" spans="7:8" x14ac:dyDescent="0.2">
      <c r="G54" s="2" t="s">
        <v>11</v>
      </c>
      <c r="H54" s="5"/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Scalability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Coelho da Silva</dc:creator>
  <cp:lastModifiedBy>Diogo Coelho da Silva</cp:lastModifiedBy>
  <dcterms:created xsi:type="dcterms:W3CDTF">2025-11-21T16:59:10Z</dcterms:created>
  <dcterms:modified xsi:type="dcterms:W3CDTF">2025-11-23T14:45:11Z</dcterms:modified>
</cp:coreProperties>
</file>